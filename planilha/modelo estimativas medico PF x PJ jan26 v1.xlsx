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 Nunes\Downloads\"/>
    </mc:Choice>
  </mc:AlternateContent>
  <xr:revisionPtr revIDLastSave="0" documentId="13_ncr:1_{CF0CBF61-64F2-4183-910A-286C2444726E}" xr6:coauthVersionLast="47" xr6:coauthVersionMax="47" xr10:uidLastSave="{00000000-0000-0000-0000-000000000000}"/>
  <bookViews>
    <workbookView xWindow="-120" yWindow="-120" windowWidth="29040" windowHeight="15720" tabRatio="961" xr2:uid="{2A5A816D-8266-4B84-8C13-8D68AF75AC47}"/>
  </bookViews>
  <sheets>
    <sheet name="brmsalcalc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8" l="1"/>
  <c r="M34" i="8"/>
  <c r="M33" i="8"/>
  <c r="M23" i="8"/>
  <c r="M18" i="8"/>
  <c r="H15" i="8"/>
  <c r="H12" i="8"/>
  <c r="H11" i="8"/>
  <c r="H13" i="8"/>
  <c r="H10" i="8"/>
  <c r="H9" i="8"/>
  <c r="D6" i="8"/>
  <c r="M6" i="8" s="1"/>
  <c r="M20" i="8" s="1"/>
  <c r="D17" i="8"/>
  <c r="D19" i="8" l="1"/>
  <c r="M50" i="8" s="1"/>
  <c r="M36" i="8"/>
  <c r="M38" i="8" s="1"/>
  <c r="M19" i="8"/>
  <c r="H17" i="8"/>
  <c r="M12" i="8"/>
  <c r="M13" i="8" s="1"/>
  <c r="M7" i="8"/>
  <c r="M30" i="8"/>
  <c r="H6" i="8"/>
  <c r="M9" i="8" l="1"/>
  <c r="N9" i="8" s="1"/>
  <c r="M8" i="8"/>
  <c r="N13" i="8"/>
  <c r="H7" i="8"/>
  <c r="H19" i="8" s="1"/>
  <c r="H22" i="8" s="1"/>
  <c r="H24" i="8" s="1"/>
  <c r="H26" i="8" s="1"/>
  <c r="M10" i="8" l="1"/>
  <c r="M15" i="8" s="1"/>
  <c r="M25" i="8" s="1"/>
  <c r="N8" i="8"/>
  <c r="M27" i="8" l="1"/>
  <c r="M40" i="8"/>
  <c r="M42" i="8" s="1"/>
  <c r="M49" i="8" s="1"/>
  <c r="N15" i="8"/>
  <c r="H29" i="8"/>
  <c r="M46" i="8" l="1"/>
  <c r="M47" i="8" s="1"/>
  <c r="M54" i="8" s="1"/>
  <c r="M57" i="8" s="1"/>
  <c r="M52" i="8" l="1"/>
</calcChain>
</file>

<file path=xl/sharedStrings.xml><?xml version="1.0" encoding="utf-8"?>
<sst xmlns="http://schemas.openxmlformats.org/spreadsheetml/2006/main" count="64" uniqueCount="52">
  <si>
    <t>R$</t>
  </si>
  <si>
    <t>Lucro Presumido</t>
  </si>
  <si>
    <t>Receita Bruta</t>
  </si>
  <si>
    <t>Base de cálculo IRPJ - presunção</t>
  </si>
  <si>
    <t>IRPJ - 15%</t>
  </si>
  <si>
    <t>Adicional de IRPJ - 10%</t>
  </si>
  <si>
    <t>IRPJ total</t>
  </si>
  <si>
    <t>Base de cálculo CSLL - presunção</t>
  </si>
  <si>
    <t>CSLL - 9%</t>
  </si>
  <si>
    <t>IRPJ/CSLL</t>
  </si>
  <si>
    <t>PIS</t>
  </si>
  <si>
    <t>COFINS</t>
  </si>
  <si>
    <t xml:space="preserve">Total de Impostos </t>
  </si>
  <si>
    <t>Alíquota efetiva</t>
  </si>
  <si>
    <t>IRPF</t>
  </si>
  <si>
    <t>CBS</t>
  </si>
  <si>
    <t>Pessoa Física</t>
  </si>
  <si>
    <t>Rendimentos anuais</t>
  </si>
  <si>
    <t>Rendimento</t>
  </si>
  <si>
    <t>IBS</t>
  </si>
  <si>
    <t>INSS</t>
  </si>
  <si>
    <t>Pessoa Jurídica</t>
  </si>
  <si>
    <t>Rendimento mensal</t>
  </si>
  <si>
    <t>ISS</t>
  </si>
  <si>
    <t>Lucro líquido/dividendos</t>
  </si>
  <si>
    <t>IRPF-M</t>
  </si>
  <si>
    <t>Pro-labore</t>
  </si>
  <si>
    <t>Dividendos</t>
  </si>
  <si>
    <t>Receita ano</t>
  </si>
  <si>
    <t>Tributos</t>
  </si>
  <si>
    <t>Contador</t>
  </si>
  <si>
    <t>Renda líquida</t>
  </si>
  <si>
    <t>Outras despesas operacionais</t>
  </si>
  <si>
    <t>Líquido</t>
  </si>
  <si>
    <t>PREMISSAS</t>
  </si>
  <si>
    <t>Despesas:</t>
  </si>
  <si>
    <t>Secretária</t>
  </si>
  <si>
    <t>Despesas/ano:</t>
  </si>
  <si>
    <t>Aluguel/condomínio</t>
  </si>
  <si>
    <t>Outras operacionais</t>
  </si>
  <si>
    <t>ESTIMATIVAS</t>
  </si>
  <si>
    <t>Salário-mínimo</t>
  </si>
  <si>
    <t>ISS-fixo</t>
  </si>
  <si>
    <t>Total tributos</t>
  </si>
  <si>
    <t>Receita líquida</t>
  </si>
  <si>
    <t>INSS folha pagamento</t>
  </si>
  <si>
    <t>Aluguel/condominio</t>
  </si>
  <si>
    <t>Efeito na Pessoa Física:</t>
  </si>
  <si>
    <t>Pro-labore (líquido)</t>
  </si>
  <si>
    <t>(regra IRF)</t>
  </si>
  <si>
    <t>(regra IINSS)</t>
  </si>
  <si>
    <t>Total tributos PJ+PF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</si>
</sst>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34404D"/>
      <name val="Arial"/>
      <family val="2"/>
    </font>
    <font>
      <sz val="12"/>
      <color rgb="FF34404D"/>
      <name val="Arial"/>
      <family val="2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43" fontId="0" fillId="0" borderId="0" xfId="1" applyFont="1"/>
    <xf numFmtId="9" fontId="0" fillId="0" borderId="0" xfId="0" applyNumberFormat="1"/>
    <xf numFmtId="0" fontId="0" fillId="2" borderId="0" xfId="0" applyFill="1"/>
    <xf numFmtId="43" fontId="0" fillId="0" borderId="0" xfId="0" applyNumberFormat="1"/>
    <xf numFmtId="0" fontId="2" fillId="0" borderId="0" xfId="0" applyFont="1" applyAlignment="1">
      <alignment horizontal="right"/>
    </xf>
    <xf numFmtId="10" fontId="0" fillId="0" borderId="0" xfId="0" applyNumberFormat="1"/>
    <xf numFmtId="49" fontId="0" fillId="0" borderId="0" xfId="0" applyNumberFormat="1"/>
    <xf numFmtId="164" fontId="0" fillId="0" borderId="0" xfId="1" applyNumberFormat="1" applyFont="1"/>
    <xf numFmtId="0" fontId="2" fillId="0" borderId="3" xfId="0" applyFont="1" applyBorder="1"/>
    <xf numFmtId="0" fontId="3" fillId="3" borderId="0" xfId="4" applyNumberFormat="1" applyFont="1" applyFill="1" applyAlignment="1">
      <alignment horizontal="right"/>
    </xf>
    <xf numFmtId="43" fontId="0" fillId="0" borderId="0" xfId="4" applyFont="1"/>
    <xf numFmtId="164" fontId="0" fillId="0" borderId="1" xfId="1" applyNumberFormat="1" applyFont="1" applyBorder="1"/>
    <xf numFmtId="166" fontId="0" fillId="0" borderId="0" xfId="2" applyNumberFormat="1" applyFont="1"/>
    <xf numFmtId="43" fontId="0" fillId="0" borderId="0" xfId="4" applyFont="1" applyBorder="1"/>
    <xf numFmtId="0" fontId="4" fillId="0" borderId="0" xfId="0" applyFont="1"/>
    <xf numFmtId="10" fontId="4" fillId="0" borderId="0" xfId="0" applyNumberFormat="1" applyFont="1"/>
    <xf numFmtId="0" fontId="0" fillId="0" borderId="0" xfId="0" applyAlignment="1">
      <alignment vertical="top"/>
    </xf>
    <xf numFmtId="0" fontId="5" fillId="0" borderId="0" xfId="0" applyFont="1"/>
    <xf numFmtId="165" fontId="0" fillId="0" borderId="0" xfId="3" applyFont="1" applyBorder="1" applyAlignment="1">
      <alignment horizontal="center"/>
    </xf>
    <xf numFmtId="43" fontId="2" fillId="0" borderId="0" xfId="0" applyNumberFormat="1" applyFont="1"/>
    <xf numFmtId="0" fontId="3" fillId="0" borderId="0" xfId="4" applyNumberFormat="1" applyFont="1" applyFill="1" applyAlignment="1">
      <alignment horizontal="right"/>
    </xf>
    <xf numFmtId="164" fontId="0" fillId="0" borderId="0" xfId="1" applyNumberFormat="1" applyFont="1" applyFill="1"/>
    <xf numFmtId="164" fontId="0" fillId="0" borderId="0" xfId="1" applyNumberFormat="1" applyFont="1" applyFill="1" applyBorder="1"/>
    <xf numFmtId="9" fontId="0" fillId="0" borderId="0" xfId="2" applyFont="1" applyFill="1" applyBorder="1"/>
    <xf numFmtId="0" fontId="2" fillId="0" borderId="3" xfId="0" applyFont="1" applyBorder="1" applyAlignment="1">
      <alignment horizontal="left"/>
    </xf>
    <xf numFmtId="10" fontId="0" fillId="2" borderId="0" xfId="2" applyNumberFormat="1" applyFont="1" applyFill="1"/>
    <xf numFmtId="164" fontId="2" fillId="0" borderId="0" xfId="1" applyNumberFormat="1" applyFont="1" applyAlignment="1">
      <alignment horizontal="right"/>
    </xf>
    <xf numFmtId="164" fontId="2" fillId="0" borderId="0" xfId="0" applyNumberFormat="1" applyFont="1"/>
    <xf numFmtId="0" fontId="6" fillId="0" borderId="0" xfId="0" applyFont="1"/>
    <xf numFmtId="0" fontId="7" fillId="0" borderId="0" xfId="0" applyFont="1"/>
    <xf numFmtId="164" fontId="0" fillId="0" borderId="0" xfId="1" applyNumberFormat="1" applyFont="1" applyBorder="1"/>
    <xf numFmtId="10" fontId="0" fillId="0" borderId="0" xfId="2" applyNumberFormat="1" applyFont="1"/>
    <xf numFmtId="164" fontId="0" fillId="0" borderId="2" xfId="1" applyNumberFormat="1" applyFont="1" applyBorder="1"/>
    <xf numFmtId="166" fontId="0" fillId="2" borderId="6" xfId="0" applyNumberFormat="1" applyFill="1" applyBorder="1"/>
    <xf numFmtId="0" fontId="8" fillId="3" borderId="0" xfId="0" applyFont="1" applyFill="1"/>
    <xf numFmtId="49" fontId="3" fillId="3" borderId="0" xfId="0" applyNumberFormat="1" applyFont="1" applyFill="1"/>
    <xf numFmtId="43" fontId="0" fillId="0" borderId="3" xfId="1" applyFont="1" applyBorder="1"/>
    <xf numFmtId="164" fontId="2" fillId="0" borderId="5" xfId="1" applyNumberFormat="1" applyFont="1" applyBorder="1"/>
    <xf numFmtId="164" fontId="0" fillId="0" borderId="4" xfId="1" applyNumberFormat="1" applyFont="1" applyBorder="1"/>
    <xf numFmtId="164" fontId="2" fillId="0" borderId="3" xfId="1" applyNumberFormat="1" applyFont="1" applyFill="1" applyBorder="1"/>
    <xf numFmtId="164" fontId="4" fillId="0" borderId="0" xfId="1" applyNumberFormat="1" applyFont="1" applyBorder="1"/>
    <xf numFmtId="164" fontId="0" fillId="0" borderId="0" xfId="1" applyNumberFormat="1" applyFont="1" applyFill="1" applyBorder="1" applyAlignment="1">
      <alignment horizontal="center"/>
    </xf>
    <xf numFmtId="164" fontId="5" fillId="2" borderId="2" xfId="1" applyNumberFormat="1" applyFont="1" applyFill="1" applyBorder="1"/>
    <xf numFmtId="164" fontId="2" fillId="0" borderId="3" xfId="1" applyNumberFormat="1" applyFont="1" applyBorder="1"/>
    <xf numFmtId="164" fontId="2" fillId="0" borderId="7" xfId="1" applyNumberFormat="1" applyFont="1" applyBorder="1"/>
    <xf numFmtId="164" fontId="0" fillId="0" borderId="6" xfId="1" applyNumberFormat="1" applyFont="1" applyBorder="1"/>
    <xf numFmtId="164" fontId="2" fillId="0" borderId="2" xfId="0" applyNumberFormat="1" applyFont="1" applyBorder="1"/>
    <xf numFmtId="164" fontId="2" fillId="0" borderId="1" xfId="1" applyNumberFormat="1" applyFont="1" applyBorder="1"/>
    <xf numFmtId="10" fontId="0" fillId="0" borderId="0" xfId="2" applyNumberFormat="1" applyFont="1" applyFill="1"/>
    <xf numFmtId="0" fontId="3" fillId="3" borderId="0" xfId="0" applyFont="1" applyFill="1"/>
  </cellXfs>
  <cellStyles count="5">
    <cellStyle name="Normal" xfId="0" builtinId="0"/>
    <cellStyle name="Porcentagem" xfId="2" builtinId="5"/>
    <cellStyle name="Vírgula" xfId="1" builtinId="3"/>
    <cellStyle name="Vírgula 2" xfId="3" xr:uid="{F7F10A7B-37BE-41EC-ACE1-B26DE7F57621}"/>
    <cellStyle name="Vírgula 2 2" xfId="4" xr:uid="{69467169-6645-4162-BBC9-51DD2FD32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61DD-867D-4F1B-A0E4-39E0A98BAAA0}">
  <dimension ref="B1:Q61"/>
  <sheetViews>
    <sheetView showFormulas="1" showGridLines="0" tabSelected="1" zoomScale="70" zoomScaleNormal="70" workbookViewId="0">
      <selection activeCell="D54" sqref="D54"/>
    </sheetView>
  </sheetViews>
  <sheetFormatPr defaultRowHeight="15" x14ac:dyDescent="0.25"/>
  <cols>
    <col min="2" max="2" width="12" customWidth="1"/>
    <col min="3" max="3" width="4.5703125" hidden="1" customWidth="1"/>
    <col min="4" max="4" width="8.42578125" style="2" customWidth="1"/>
    <col min="5" max="5" width="2.140625" customWidth="1"/>
    <col min="6" max="6" width="14.7109375" customWidth="1"/>
    <col min="7" max="7" width="6.7109375" hidden="1" customWidth="1"/>
    <col min="8" max="8" width="11.140625" customWidth="1"/>
    <col min="9" max="9" width="1.7109375" customWidth="1"/>
    <col min="10" max="10" width="1.85546875" customWidth="1"/>
    <col min="11" max="11" width="15.28515625" customWidth="1"/>
    <col min="12" max="12" width="7.28515625" customWidth="1"/>
    <col min="13" max="13" width="19.7109375" bestFit="1" customWidth="1"/>
    <col min="14" max="14" width="13.5703125" customWidth="1"/>
    <col min="15" max="15" width="4.28515625" customWidth="1"/>
    <col min="16" max="17" width="13.140625" customWidth="1"/>
    <col min="18" max="18" width="33.42578125" customWidth="1"/>
  </cols>
  <sheetData>
    <row r="1" spans="2:17" x14ac:dyDescent="0.25">
      <c r="F1" s="8"/>
      <c r="G1" s="8"/>
      <c r="H1" s="2"/>
    </row>
    <row r="2" spans="2:17" x14ac:dyDescent="0.25">
      <c r="B2" s="36" t="s">
        <v>34</v>
      </c>
      <c r="C2" s="36"/>
      <c r="D2" s="36"/>
      <c r="F2" s="37" t="s">
        <v>40</v>
      </c>
      <c r="G2" s="37"/>
      <c r="H2" s="36"/>
      <c r="I2" s="36"/>
      <c r="J2" s="36"/>
      <c r="K2" s="36"/>
      <c r="L2" s="36"/>
      <c r="M2" s="36"/>
    </row>
    <row r="3" spans="2:17" x14ac:dyDescent="0.25">
      <c r="K3" s="29" t="s">
        <v>21</v>
      </c>
    </row>
    <row r="4" spans="2:17" ht="16.5" thickBot="1" x14ac:dyDescent="0.3">
      <c r="F4" s="26" t="s">
        <v>16</v>
      </c>
      <c r="G4" s="26"/>
      <c r="H4" s="11" t="s">
        <v>0</v>
      </c>
      <c r="I4" s="22"/>
      <c r="J4" s="22"/>
      <c r="K4" s="10" t="s">
        <v>1</v>
      </c>
      <c r="L4" s="10"/>
      <c r="M4" s="11" t="s">
        <v>0</v>
      </c>
      <c r="Q4" s="30"/>
    </row>
    <row r="5" spans="2:17" ht="16.5" thickBot="1" x14ac:dyDescent="0.3">
      <c r="B5" t="s">
        <v>22</v>
      </c>
      <c r="D5" s="47">
        <v>80000</v>
      </c>
      <c r="F5" s="6"/>
      <c r="G5" s="6"/>
      <c r="H5" s="6"/>
      <c r="I5" s="6"/>
      <c r="J5" s="6"/>
      <c r="L5" s="12"/>
      <c r="M5" s="12"/>
      <c r="Q5" s="31"/>
    </row>
    <row r="6" spans="2:17" ht="16.5" thickBot="1" x14ac:dyDescent="0.3">
      <c r="B6" t="s">
        <v>17</v>
      </c>
      <c r="D6" s="9">
        <f>D5*12</f>
        <v>960000</v>
      </c>
      <c r="F6" t="s">
        <v>18</v>
      </c>
      <c r="H6" s="28">
        <f>D6</f>
        <v>960000</v>
      </c>
      <c r="I6" s="23"/>
      <c r="J6" s="23"/>
      <c r="K6" s="1" t="s">
        <v>2</v>
      </c>
      <c r="L6" s="1"/>
      <c r="M6" s="39">
        <f>D6</f>
        <v>960000</v>
      </c>
      <c r="Q6" s="31"/>
    </row>
    <row r="7" spans="2:17" ht="16.5" thickTop="1" thickBot="1" x14ac:dyDescent="0.3">
      <c r="D7" s="9"/>
      <c r="H7" s="13">
        <f>SUM(H6:H6)</f>
        <v>960000</v>
      </c>
      <c r="I7" s="24"/>
      <c r="J7" s="24"/>
      <c r="K7" t="s">
        <v>3</v>
      </c>
      <c r="L7" s="3">
        <v>0.32</v>
      </c>
      <c r="M7" s="9">
        <f>M6*L7</f>
        <v>307200</v>
      </c>
    </row>
    <row r="8" spans="2:17" x14ac:dyDescent="0.25">
      <c r="B8" t="s">
        <v>37</v>
      </c>
      <c r="D8" s="9"/>
      <c r="H8" s="32"/>
      <c r="I8" s="23"/>
      <c r="J8" s="23"/>
      <c r="K8" s="1" t="s">
        <v>4</v>
      </c>
      <c r="M8" s="32">
        <f>M7*15%</f>
        <v>46080</v>
      </c>
      <c r="N8" s="33">
        <f>M8/M6</f>
        <v>4.8000000000000001E-2</v>
      </c>
    </row>
    <row r="9" spans="2:17" x14ac:dyDescent="0.25">
      <c r="B9" t="s">
        <v>36</v>
      </c>
      <c r="D9" s="9">
        <v>24000</v>
      </c>
      <c r="F9" t="s">
        <v>46</v>
      </c>
      <c r="H9" s="32">
        <f>D10</f>
        <v>30000</v>
      </c>
      <c r="I9" s="25"/>
      <c r="J9" s="25"/>
      <c r="K9" t="s">
        <v>5</v>
      </c>
      <c r="M9" s="32">
        <f>IF(M7&gt;240000,(M7-240000)*10%,0)</f>
        <v>6720</v>
      </c>
      <c r="N9" s="33">
        <f>M9/M6</f>
        <v>7.0000000000000001E-3</v>
      </c>
    </row>
    <row r="10" spans="2:17" ht="16.5" thickBot="1" x14ac:dyDescent="0.3">
      <c r="B10" t="s">
        <v>38</v>
      </c>
      <c r="D10" s="9">
        <v>30000</v>
      </c>
      <c r="F10" t="s">
        <v>36</v>
      </c>
      <c r="H10" s="32">
        <f>D9</f>
        <v>24000</v>
      </c>
      <c r="I10" s="25"/>
      <c r="J10" s="25"/>
      <c r="K10" t="s">
        <v>6</v>
      </c>
      <c r="M10" s="40">
        <f>SUM(M8:M9)</f>
        <v>52800</v>
      </c>
      <c r="Q10" s="31"/>
    </row>
    <row r="11" spans="2:17" ht="16.5" thickTop="1" x14ac:dyDescent="0.25">
      <c r="B11" t="s">
        <v>30</v>
      </c>
      <c r="D11" s="9">
        <v>12000</v>
      </c>
      <c r="F11" t="s">
        <v>30</v>
      </c>
      <c r="H11" s="32">
        <f>D11</f>
        <v>12000</v>
      </c>
      <c r="I11" s="25"/>
      <c r="J11" s="25"/>
      <c r="M11" s="32"/>
      <c r="Q11" s="31"/>
    </row>
    <row r="12" spans="2:17" x14ac:dyDescent="0.25">
      <c r="B12" t="s">
        <v>39</v>
      </c>
      <c r="D12" s="9">
        <v>0</v>
      </c>
      <c r="F12" t="s">
        <v>32</v>
      </c>
      <c r="H12" s="32">
        <f>D12</f>
        <v>0</v>
      </c>
      <c r="I12" s="25"/>
      <c r="J12" s="25"/>
      <c r="K12" t="s">
        <v>7</v>
      </c>
      <c r="L12" s="3">
        <v>0.32</v>
      </c>
      <c r="M12" s="32">
        <f>M6*L12</f>
        <v>307200</v>
      </c>
    </row>
    <row r="13" spans="2:17" ht="15.75" thickBot="1" x14ac:dyDescent="0.3">
      <c r="F13" t="s">
        <v>20</v>
      </c>
      <c r="G13" s="3">
        <v>0.2</v>
      </c>
      <c r="H13" s="32">
        <f>(D15*G13)+(D9*20%)</f>
        <v>5124.2</v>
      </c>
      <c r="I13" s="25"/>
      <c r="J13" s="25"/>
      <c r="K13" s="1" t="s">
        <v>8</v>
      </c>
      <c r="M13" s="40">
        <f>M12*9%</f>
        <v>27648</v>
      </c>
      <c r="N13" s="33">
        <f>M13/M6</f>
        <v>2.8799999999999999E-2</v>
      </c>
    </row>
    <row r="14" spans="2:17" ht="15.75" thickTop="1" x14ac:dyDescent="0.25">
      <c r="B14" t="s">
        <v>42</v>
      </c>
      <c r="D14" s="9">
        <v>1500</v>
      </c>
      <c r="H14" s="9"/>
      <c r="I14" s="25"/>
      <c r="J14" s="25"/>
      <c r="M14" s="32"/>
    </row>
    <row r="15" spans="2:17" ht="15.75" thickBot="1" x14ac:dyDescent="0.3">
      <c r="B15" t="s">
        <v>41</v>
      </c>
      <c r="D15" s="9">
        <v>1621</v>
      </c>
      <c r="F15" t="s">
        <v>23</v>
      </c>
      <c r="H15" s="9">
        <f>D14</f>
        <v>1500</v>
      </c>
      <c r="I15" s="24"/>
      <c r="J15" s="24"/>
      <c r="K15" s="1" t="s">
        <v>9</v>
      </c>
      <c r="L15" s="1"/>
      <c r="M15" s="41">
        <f>+M13+M10</f>
        <v>80448</v>
      </c>
      <c r="N15" s="33">
        <f>M15/M6</f>
        <v>8.3799999999999999E-2</v>
      </c>
    </row>
    <row r="16" spans="2:17" x14ac:dyDescent="0.25">
      <c r="H16" s="9"/>
      <c r="I16" s="24"/>
      <c r="L16" s="15"/>
      <c r="M16" s="9"/>
      <c r="O16" s="14"/>
    </row>
    <row r="17" spans="2:13" x14ac:dyDescent="0.25">
      <c r="B17" t="s">
        <v>26</v>
      </c>
      <c r="D17" s="9">
        <f>1621*12</f>
        <v>19452</v>
      </c>
      <c r="H17" s="34">
        <f>SUM(H9:H15)</f>
        <v>72624.2</v>
      </c>
      <c r="J17" s="5"/>
      <c r="M17" s="9"/>
    </row>
    <row r="18" spans="2:13" x14ac:dyDescent="0.25">
      <c r="B18" t="s">
        <v>49</v>
      </c>
      <c r="H18" s="9"/>
      <c r="J18" s="21"/>
      <c r="K18" t="s">
        <v>45</v>
      </c>
      <c r="L18" s="3">
        <v>0.2</v>
      </c>
      <c r="M18" s="9">
        <f>(D9+L18)*20%</f>
        <v>4800.04</v>
      </c>
    </row>
    <row r="19" spans="2:13" ht="15.75" thickBot="1" x14ac:dyDescent="0.3">
      <c r="B19" t="s">
        <v>50</v>
      </c>
      <c r="C19" s="3">
        <v>0.11</v>
      </c>
      <c r="D19" s="9">
        <f>D17*C19</f>
        <v>2139.7199999999998</v>
      </c>
      <c r="F19" s="1" t="s">
        <v>31</v>
      </c>
      <c r="G19" s="1"/>
      <c r="H19" s="45">
        <f>H7-H17</f>
        <v>887375.8</v>
      </c>
      <c r="I19" s="21"/>
      <c r="K19" s="16" t="s">
        <v>10</v>
      </c>
      <c r="L19" s="17">
        <v>6.4999999999999997E-3</v>
      </c>
      <c r="M19" s="42">
        <f>M6*L19</f>
        <v>6240</v>
      </c>
    </row>
    <row r="20" spans="2:13" x14ac:dyDescent="0.25">
      <c r="H20" s="9"/>
      <c r="J20" s="21"/>
      <c r="K20" s="16" t="s">
        <v>11</v>
      </c>
      <c r="L20" s="17">
        <v>0.03</v>
      </c>
      <c r="M20" s="42">
        <f>M6*L20</f>
        <v>28800</v>
      </c>
    </row>
    <row r="21" spans="2:13" ht="15.75" thickBot="1" x14ac:dyDescent="0.3">
      <c r="H21" s="9"/>
      <c r="I21" s="21"/>
      <c r="K21" t="s">
        <v>15</v>
      </c>
      <c r="L21" s="7">
        <v>8.9999999999999993E-3</v>
      </c>
      <c r="M21" s="43">
        <v>0</v>
      </c>
    </row>
    <row r="22" spans="2:13" ht="15.75" thickBot="1" x14ac:dyDescent="0.3">
      <c r="F22" t="s">
        <v>14</v>
      </c>
      <c r="G22" s="35">
        <v>0.27500000000000002</v>
      </c>
      <c r="H22" s="46">
        <f>H19*G22</f>
        <v>244028.34500000003</v>
      </c>
      <c r="K22" t="s">
        <v>19</v>
      </c>
      <c r="L22" s="7">
        <v>1E-3</v>
      </c>
      <c r="M22" s="43">
        <v>0</v>
      </c>
    </row>
    <row r="23" spans="2:13" x14ac:dyDescent="0.25">
      <c r="H23" s="9"/>
      <c r="K23" t="s">
        <v>23</v>
      </c>
      <c r="L23" s="7"/>
      <c r="M23" s="43">
        <f>D14</f>
        <v>1500</v>
      </c>
    </row>
    <row r="24" spans="2:13" ht="15.75" thickBot="1" x14ac:dyDescent="0.3">
      <c r="F24" t="s">
        <v>43</v>
      </c>
      <c r="H24" s="45">
        <f>H22+H15+H13</f>
        <v>250652.54500000004</v>
      </c>
      <c r="K24" s="18"/>
      <c r="L24" s="7"/>
      <c r="M24" s="42"/>
    </row>
    <row r="25" spans="2:13" x14ac:dyDescent="0.25">
      <c r="K25" s="19" t="s">
        <v>12</v>
      </c>
      <c r="L25" s="19"/>
      <c r="M25" s="44">
        <f>M15+M19+M20+M21+M22+M23+M24+M18</f>
        <v>121788.04</v>
      </c>
    </row>
    <row r="26" spans="2:13" x14ac:dyDescent="0.25">
      <c r="F26" s="4" t="s">
        <v>13</v>
      </c>
      <c r="G26" s="4"/>
      <c r="H26" s="27">
        <f>H24/H6</f>
        <v>0.2610964010416667</v>
      </c>
      <c r="M26" s="20"/>
    </row>
    <row r="27" spans="2:13" x14ac:dyDescent="0.25">
      <c r="K27" s="4" t="s">
        <v>13</v>
      </c>
      <c r="L27" s="4"/>
      <c r="M27" s="27">
        <f>M25/M6</f>
        <v>0.12686254166666666</v>
      </c>
    </row>
    <row r="29" spans="2:13" x14ac:dyDescent="0.25">
      <c r="F29" s="1" t="s">
        <v>44</v>
      </c>
      <c r="G29" s="1"/>
      <c r="H29" s="48">
        <f>H19-H24</f>
        <v>636723.255</v>
      </c>
    </row>
    <row r="30" spans="2:13" ht="15.75" thickBot="1" x14ac:dyDescent="0.3">
      <c r="K30" t="s">
        <v>28</v>
      </c>
      <c r="M30" s="38">
        <f>M6</f>
        <v>960000</v>
      </c>
    </row>
    <row r="31" spans="2:13" x14ac:dyDescent="0.25">
      <c r="M31" s="9"/>
    </row>
    <row r="32" spans="2:13" x14ac:dyDescent="0.25">
      <c r="K32" t="s">
        <v>35</v>
      </c>
      <c r="M32" s="9"/>
    </row>
    <row r="33" spans="11:17" x14ac:dyDescent="0.25">
      <c r="K33" t="s">
        <v>46</v>
      </c>
      <c r="M33" s="9">
        <f>-D10</f>
        <v>-30000</v>
      </c>
    </row>
    <row r="34" spans="11:17" x14ac:dyDescent="0.25">
      <c r="K34" t="s">
        <v>36</v>
      </c>
      <c r="M34" s="9">
        <f>-D9</f>
        <v>-24000</v>
      </c>
    </row>
    <row r="35" spans="11:17" x14ac:dyDescent="0.25">
      <c r="K35" t="s">
        <v>30</v>
      </c>
      <c r="M35" s="9">
        <f>-D11</f>
        <v>-12000</v>
      </c>
    </row>
    <row r="36" spans="11:17" x14ac:dyDescent="0.25">
      <c r="K36" t="s">
        <v>26</v>
      </c>
      <c r="M36" s="9">
        <f>-D17</f>
        <v>-19452</v>
      </c>
    </row>
    <row r="37" spans="11:17" x14ac:dyDescent="0.25">
      <c r="K37" t="s">
        <v>32</v>
      </c>
      <c r="M37" s="9"/>
    </row>
    <row r="38" spans="11:17" x14ac:dyDescent="0.25">
      <c r="M38" s="34">
        <f>SUM(M33:M37)</f>
        <v>-85452</v>
      </c>
    </row>
    <row r="39" spans="11:17" x14ac:dyDescent="0.25">
      <c r="M39" s="9"/>
      <c r="Q39" s="5"/>
    </row>
    <row r="40" spans="11:17" x14ac:dyDescent="0.25">
      <c r="K40" t="s">
        <v>29</v>
      </c>
      <c r="M40" s="9">
        <f>-M25</f>
        <v>-121788.04</v>
      </c>
    </row>
    <row r="41" spans="11:17" x14ac:dyDescent="0.25">
      <c r="M41" s="9"/>
    </row>
    <row r="42" spans="11:17" ht="15.75" thickBot="1" x14ac:dyDescent="0.3">
      <c r="K42" s="1" t="s">
        <v>24</v>
      </c>
      <c r="L42" s="1"/>
      <c r="M42" s="49">
        <f>SUM(M30:M41)</f>
        <v>667307.96</v>
      </c>
    </row>
    <row r="43" spans="11:17" x14ac:dyDescent="0.25">
      <c r="M43" s="5"/>
    </row>
    <row r="44" spans="11:17" x14ac:dyDescent="0.25">
      <c r="M44" s="5"/>
    </row>
    <row r="45" spans="11:17" x14ac:dyDescent="0.25">
      <c r="K45" s="51" t="s">
        <v>47</v>
      </c>
      <c r="L45" s="36"/>
      <c r="M45" s="36"/>
    </row>
    <row r="46" spans="11:17" x14ac:dyDescent="0.25">
      <c r="K46" t="s">
        <v>25</v>
      </c>
      <c r="M46" s="2">
        <f>((M42/60000)-10)</f>
        <v>1.1217993333333336</v>
      </c>
    </row>
    <row r="47" spans="11:17" x14ac:dyDescent="0.25">
      <c r="K47" t="s">
        <v>25</v>
      </c>
      <c r="M47" s="9">
        <f>M42*M46%</f>
        <v>7485.8562465602681</v>
      </c>
    </row>
    <row r="48" spans="11:17" x14ac:dyDescent="0.25">
      <c r="M48" s="9"/>
    </row>
    <row r="49" spans="11:16" x14ac:dyDescent="0.25">
      <c r="K49" t="s">
        <v>27</v>
      </c>
      <c r="M49" s="9">
        <f>M42</f>
        <v>667307.96</v>
      </c>
      <c r="P49" s="5"/>
    </row>
    <row r="50" spans="11:16" x14ac:dyDescent="0.25">
      <c r="K50" t="s">
        <v>48</v>
      </c>
      <c r="M50" s="9">
        <f>D17-D19</f>
        <v>17312.28</v>
      </c>
    </row>
    <row r="51" spans="11:16" x14ac:dyDescent="0.25">
      <c r="M51" s="9"/>
    </row>
    <row r="52" spans="11:16" x14ac:dyDescent="0.25">
      <c r="K52" t="s">
        <v>33</v>
      </c>
      <c r="M52" s="9">
        <f>(M49+M50)-M47</f>
        <v>677134.38375343976</v>
      </c>
      <c r="N52" s="50"/>
    </row>
    <row r="53" spans="11:16" x14ac:dyDescent="0.25">
      <c r="M53" s="9"/>
    </row>
    <row r="54" spans="11:16" x14ac:dyDescent="0.25">
      <c r="K54" t="s">
        <v>51</v>
      </c>
      <c r="M54" s="9">
        <f>M25+M47</f>
        <v>129273.89624656027</v>
      </c>
    </row>
    <row r="55" spans="11:16" x14ac:dyDescent="0.25">
      <c r="M55" s="9"/>
    </row>
    <row r="56" spans="11:16" x14ac:dyDescent="0.25">
      <c r="M56" s="9"/>
    </row>
    <row r="57" spans="11:16" x14ac:dyDescent="0.25">
      <c r="K57" s="4" t="s">
        <v>13</v>
      </c>
      <c r="L57" s="4"/>
      <c r="M57" s="27">
        <f>M54/M6</f>
        <v>0.13466030859016695</v>
      </c>
    </row>
    <row r="61" spans="11:16" x14ac:dyDescent="0.25">
      <c r="L61" s="3"/>
      <c r="M61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4A54E0ED120E44A0ACD78233CBC075" ma:contentTypeVersion="16" ma:contentTypeDescription="Crie um novo documento." ma:contentTypeScope="" ma:versionID="74c8543c2b2e33ae95c4ce2eaaf15512">
  <xsd:schema xmlns:xsd="http://www.w3.org/2001/XMLSchema" xmlns:xs="http://www.w3.org/2001/XMLSchema" xmlns:p="http://schemas.microsoft.com/office/2006/metadata/properties" xmlns:ns2="e8235cec-fc64-4675-bf06-c5a34c5b2126" xmlns:ns3="dabf6eff-2471-4a4d-b8bd-4c7e5579eff6" targetNamespace="http://schemas.microsoft.com/office/2006/metadata/properties" ma:root="true" ma:fieldsID="e65aaaec9d90ba4028d399c72d9323a0" ns2:_="" ns3:_="">
    <xsd:import namespace="e8235cec-fc64-4675-bf06-c5a34c5b2126"/>
    <xsd:import namespace="dabf6eff-2471-4a4d-b8bd-4c7e5579ef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35cec-fc64-4675-bf06-c5a34c5b21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1ee6fa43-e5e0-4f18-a99b-4848cd5ab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f6eff-2471-4a4d-b8bd-4c7e5579eff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be49dc0-7876-4659-bf25-38fa64f51896}" ma:internalName="TaxCatchAll" ma:showField="CatchAllData" ma:web="dabf6eff-2471-4a4d-b8bd-4c7e5579ef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235cec-fc64-4675-bf06-c5a34c5b2126">
      <Terms xmlns="http://schemas.microsoft.com/office/infopath/2007/PartnerControls"/>
    </lcf76f155ced4ddcb4097134ff3c332f>
    <TaxCatchAll xmlns="dabf6eff-2471-4a4d-b8bd-4c7e5579eff6" xsi:nil="true"/>
  </documentManagement>
</p:properties>
</file>

<file path=customXml/itemProps1.xml><?xml version="1.0" encoding="utf-8"?>
<ds:datastoreItem xmlns:ds="http://schemas.openxmlformats.org/officeDocument/2006/customXml" ds:itemID="{062AE92E-A26A-4714-9EAA-EF78F029ED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35cec-fc64-4675-bf06-c5a34c5b2126"/>
    <ds:schemaRef ds:uri="dabf6eff-2471-4a4d-b8bd-4c7e5579ef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DFEAEC-778D-4EAA-A828-189AD01F9A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C2F72E-3D85-4BCE-ADBE-AC39B9D3F624}">
  <ds:schemaRefs>
    <ds:schemaRef ds:uri="dabf6eff-2471-4a4d-b8bd-4c7e5579eff6"/>
    <ds:schemaRef ds:uri="http://schemas.microsoft.com/office/2006/metadata/properties"/>
    <ds:schemaRef ds:uri="e8235cec-fc64-4675-bf06-c5a34c5b2126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brmsalcalc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Motta | Brasil Salomão</dc:creator>
  <cp:lastModifiedBy>LUIZ NUNES</cp:lastModifiedBy>
  <dcterms:created xsi:type="dcterms:W3CDTF">2025-09-29T16:55:28Z</dcterms:created>
  <dcterms:modified xsi:type="dcterms:W3CDTF">2026-02-01T03:57:31Z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0x010100E44A54E0ED120E44A0ACD78233CBC075</vt:lpwstr>
  </property>
  <property fmtid="{D5CDD505-2E9C-101B-9397-08002B2CF9AE}" pid="3" name="MediaServiceImageTags">
    <vt:lpwstr/>
  </property>
</Properties>
</file>